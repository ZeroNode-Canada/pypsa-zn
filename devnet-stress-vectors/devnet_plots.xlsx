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eronode-my.sharepoint.com/personal/ashok_zeronode_ca/Documents/Ashok/SFU- SustainableEnergyEngineering/Sustainable Energy &amp; Datacenter Models Tools/EnergySystemAnalysis- PyPSA/pypsa-zn/devnet-stress-vectors/"/>
    </mc:Choice>
  </mc:AlternateContent>
  <xr:revisionPtr revIDLastSave="303" documentId="8_{1DE9AB68-969B-4576-8842-DCCCDAC6DEC5}" xr6:coauthVersionLast="47" xr6:coauthVersionMax="47" xr10:uidLastSave="{71AF6F6C-4B56-4562-9884-0DC3BCC9B072}"/>
  <bookViews>
    <workbookView xWindow="-108" yWindow="-108" windowWidth="23256" windowHeight="13896" xr2:uid="{7340CB05-3689-448E-B208-BC226AF7FE68}"/>
  </bookViews>
  <sheets>
    <sheet name="DevNetGen_mc&lt;&gt;LMP" sheetId="1" r:id="rId1"/>
    <sheet name="DevNet_load&lt;&gt;SystemCost" sheetId="2" r:id="rId2"/>
    <sheet name="DevNet_line&lt;&gt;near_bind_ct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4" l="1"/>
  <c r="J16" i="4"/>
  <c r="J15" i="4"/>
  <c r="J14" i="4"/>
  <c r="J13" i="4"/>
  <c r="J12" i="4"/>
  <c r="K17" i="4"/>
  <c r="L17" i="4" s="1"/>
  <c r="K16" i="4"/>
  <c r="L16" i="4" s="1"/>
  <c r="K15" i="4"/>
  <c r="L15" i="4" s="1"/>
  <c r="K14" i="4"/>
  <c r="L14" i="4" s="1"/>
  <c r="K13" i="4"/>
  <c r="K12" i="4"/>
  <c r="L12" i="4" s="1"/>
  <c r="L13" i="4"/>
  <c r="J16" i="2"/>
  <c r="K16" i="2" s="1"/>
  <c r="J15" i="2"/>
  <c r="K15" i="2" s="1"/>
  <c r="K14" i="2"/>
  <c r="J14" i="2"/>
  <c r="K13" i="2"/>
  <c r="J13" i="2"/>
  <c r="K12" i="2"/>
  <c r="J12" i="2"/>
  <c r="K11" i="2"/>
  <c r="J11" i="2"/>
</calcChain>
</file>

<file path=xl/sharedStrings.xml><?xml version="1.0" encoding="utf-8"?>
<sst xmlns="http://schemas.openxmlformats.org/spreadsheetml/2006/main" count="230" uniqueCount="86">
  <si>
    <t>case</t>
  </si>
  <si>
    <t>WECC_NW</t>
  </si>
  <si>
    <t>WECC_SW</t>
  </si>
  <si>
    <t>SPP_MISO</t>
  </si>
  <si>
    <t>PJM_NE</t>
  </si>
  <si>
    <t>SERC_SE</t>
  </si>
  <si>
    <t>ERCOT</t>
  </si>
  <si>
    <t>scenario</t>
  </si>
  <si>
    <t>lmp_spread</t>
  </si>
  <si>
    <t>max_loading_pu</t>
  </si>
  <si>
    <t>near_bind_ct</t>
  </si>
  <si>
    <t>single</t>
  </si>
  <si>
    <t>Test cases</t>
  </si>
  <si>
    <t>Generation Marginal Cost (US$)</t>
  </si>
  <si>
    <r>
      <t xml:space="preserve">objective
</t>
    </r>
    <r>
      <rPr>
        <sz val="9"/>
        <color theme="1"/>
        <rFont val="Aptos Narrow"/>
        <family val="2"/>
        <scheme val="minor"/>
      </rPr>
      <t>(Optimal Devnet Operational Cost (US$)</t>
    </r>
  </si>
  <si>
    <t>top1_line</t>
  </si>
  <si>
    <t>top2_line</t>
  </si>
  <si>
    <t>top3_line</t>
  </si>
  <si>
    <t>L_WECC_SW_SPP_MISO</t>
  </si>
  <si>
    <t>1.00</t>
  </si>
  <si>
    <t>L_SPP_MISO_PJM_NE</t>
  </si>
  <si>
    <t>L_PJM_NE_SERC_SE</t>
  </si>
  <si>
    <t>0.93</t>
  </si>
  <si>
    <t>0.85</t>
  </si>
  <si>
    <t>L_SPP_MISO_ERCOT</t>
  </si>
  <si>
    <t>0.75</t>
  </si>
  <si>
    <t>0.45</t>
  </si>
  <si>
    <t>0.35</t>
  </si>
  <si>
    <t>L_WECC_NW_WECC_SW</t>
  </si>
  <si>
    <t>L_SERC_SE_ERCOT</t>
  </si>
  <si>
    <t>0.40</t>
  </si>
  <si>
    <t>0.60</t>
  </si>
  <si>
    <t>0.55</t>
  </si>
  <si>
    <t>0.65</t>
  </si>
  <si>
    <r>
      <t xml:space="preserve">loading_pu
</t>
    </r>
    <r>
      <rPr>
        <sz val="11"/>
        <color theme="1"/>
        <rFont val="Aptos Narrow"/>
        <family val="2"/>
        <scheme val="minor"/>
      </rPr>
      <t>Power Distribution Factor (PDF)</t>
    </r>
  </si>
  <si>
    <t>DevNet 6 Bus: Per Bus Generation marginal cost &lt;&lt;&gt;&gt; LMP correlation</t>
  </si>
  <si>
    <t>DevNet 6 Bus: Total System Load &lt;&lt;&gt;&gt; System Cost- Objective correlation</t>
  </si>
  <si>
    <t>Total System Load = Buses_N * Bus_{Load}</t>
  </si>
  <si>
    <t>commit</t>
  </si>
  <si>
    <t>k_load_WECC_NW</t>
  </si>
  <si>
    <t>k_load_WECC_SW</t>
  </si>
  <si>
    <t>k_load_SPP_MISO</t>
  </si>
  <si>
    <t>k_load_PJM_NE</t>
  </si>
  <si>
    <t>k_load_SERC_SE</t>
  </si>
  <si>
    <t>k_load_ERCOT</t>
  </si>
  <si>
    <t>objective_USD</t>
  </si>
  <si>
    <t>c11</t>
  </si>
  <si>
    <t>c12</t>
  </si>
  <si>
    <t>c13</t>
  </si>
  <si>
    <t>c14</t>
  </si>
  <si>
    <t>c15</t>
  </si>
  <si>
    <t>c16</t>
  </si>
  <si>
    <t>DevNet base params:</t>
  </si>
  <si>
    <t>Total System Load
(MW)</t>
  </si>
  <si>
    <t>System Operating Cost ($)</t>
  </si>
  <si>
    <t>nan</t>
  </si>
  <si>
    <t xml:space="preserve">Extracted from: </t>
  </si>
  <si>
    <t>DevNet Stress Report_5.html</t>
  </si>
  <si>
    <t>c17</t>
  </si>
  <si>
    <t>c18</t>
  </si>
  <si>
    <t>c19</t>
  </si>
  <si>
    <t>c20</t>
  </si>
  <si>
    <t>c21</t>
  </si>
  <si>
    <t>c22</t>
  </si>
  <si>
    <t>k_line_WECC_NW</t>
  </si>
  <si>
    <t>k_line_WECC_SW</t>
  </si>
  <si>
    <t>k_line_SPP_MISO</t>
  </si>
  <si>
    <t>k_line_PJM_NE</t>
  </si>
  <si>
    <t>k_line_SERC_SE</t>
  </si>
  <si>
    <t>k_line_ERCOT</t>
  </si>
  <si>
    <t>Bus_{Load}</t>
  </si>
  <si>
    <t>=</t>
  </si>
  <si>
    <t>Buses_N</t>
  </si>
  <si>
    <t>c_g (USD/MWh)</t>
  </si>
  <si>
    <t>line s_nom (MW)</t>
  </si>
  <si>
    <t>Each line effective
(MW)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</si>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</sst>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name val="Calibri"/>
      <family val="2"/>
    </font>
    <font>
      <sz val="14"/>
      <color rgb="FF00000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3" fontId="1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3" fontId="0" fillId="3" borderId="0" xfId="0" applyNumberFormat="1" applyFill="1" applyAlignment="1">
      <alignment vertical="center"/>
    </xf>
    <xf numFmtId="0" fontId="3" fillId="0" borderId="0" xfId="0" applyFont="1" applyAlignment="1">
      <alignment horizontal="left" vertical="center" wrapText="1"/>
    </xf>
    <xf numFmtId="4" fontId="0" fillId="2" borderId="0" xfId="0" applyNumberFormat="1" applyFill="1" applyAlignment="1">
      <alignment vertical="center"/>
    </xf>
    <xf numFmtId="3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'DevNetGen_mc&lt;&gt;LMP'!$L$5</c:f>
              <c:strCache>
                <c:ptCount val="1"/>
                <c:pt idx="0">
                  <c:v>objective
(Optimal Devnet Operational Cost (US$)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'DevNetGen_mc&lt;&gt;LMP'!$B$6:$B$15</c:f>
              <c:numCache>
                <c:formatCode>#,##0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'DevNetGen_mc&lt;&gt;LMP'!$L$6:$L$15</c:f>
              <c:numCache>
                <c:formatCode>#,##0</c:formatCode>
                <c:ptCount val="10"/>
                <c:pt idx="0">
                  <c:v>2210000</c:v>
                </c:pt>
                <c:pt idx="1">
                  <c:v>2210000</c:v>
                </c:pt>
                <c:pt idx="2">
                  <c:v>2370000</c:v>
                </c:pt>
                <c:pt idx="3">
                  <c:v>2210000</c:v>
                </c:pt>
                <c:pt idx="4">
                  <c:v>2210000</c:v>
                </c:pt>
                <c:pt idx="5">
                  <c:v>2210000</c:v>
                </c:pt>
                <c:pt idx="6">
                  <c:v>2050000</c:v>
                </c:pt>
                <c:pt idx="7">
                  <c:v>1753000</c:v>
                </c:pt>
                <c:pt idx="8">
                  <c:v>1790000</c:v>
                </c:pt>
                <c:pt idx="9">
                  <c:v>1910000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11-457B-87D2-88AE6046A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67599"/>
        <c:axId val="9966639"/>
      </c:lineChart>
      <c:catAx>
        <c:axId val="9967599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6639"/>
        <c:crosses val="autoZero"/>
        <c:auto val="1"/>
        <c:lblAlgn val="ctr"/>
        <c:lblOffset val="100"/>
        <c:noMultiLvlLbl val="0"/>
      </c:catAx>
      <c:valAx>
        <c:axId val="996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7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'DevNetGen_mc&lt;&gt;LMP'!$L$5</c:f>
              <c:strCache>
                <c:ptCount val="1"/>
                <c:pt idx="0">
                  <c:v>objective
(Optimal Devnet Operational Cost (US$)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'DevNetGen_mc&lt;&gt;LMP'!$M$6:$M$15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</c:v>
                </c:pt>
                <c:pt idx="8">
                  <c:v>10</c:v>
                </c:pt>
                <c:pt idx="9">
                  <c:v>20</c:v>
                </c:pt>
              </c:numCache>
            </c:numRef>
          </c:cat>
          <c:val>
            <c:numRef>
              <c:f>'DevNetGen_mc&lt;&gt;LMP'!$L$6:$L$15</c:f>
              <c:numCache>
                <c:formatCode>#,##0</c:formatCode>
                <c:ptCount val="10"/>
                <c:pt idx="0">
                  <c:v>2210000</c:v>
                </c:pt>
                <c:pt idx="1">
                  <c:v>2210000</c:v>
                </c:pt>
                <c:pt idx="2">
                  <c:v>2370000</c:v>
                </c:pt>
                <c:pt idx="3">
                  <c:v>2210000</c:v>
                </c:pt>
                <c:pt idx="4">
                  <c:v>2210000</c:v>
                </c:pt>
                <c:pt idx="5">
                  <c:v>2210000</c:v>
                </c:pt>
                <c:pt idx="6">
                  <c:v>2050000</c:v>
                </c:pt>
                <c:pt idx="7">
                  <c:v>1753000</c:v>
                </c:pt>
                <c:pt idx="8">
                  <c:v>1790000</c:v>
                </c:pt>
                <c:pt idx="9">
                  <c:v>1910000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02-4AAE-BEC1-BE97BA802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67599"/>
        <c:axId val="9966639"/>
      </c:lineChart>
      <c:catAx>
        <c:axId val="9967599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6639"/>
        <c:crosses val="autoZero"/>
        <c:auto val="1"/>
        <c:lblAlgn val="ctr"/>
        <c:lblOffset val="100"/>
        <c:noMultiLvlLbl val="0"/>
      </c:catAx>
      <c:valAx>
        <c:axId val="996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7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'DevNet_load&lt;&gt;SystemCost'!$L$10</c:f>
              <c:strCache>
                <c:ptCount val="1"/>
                <c:pt idx="0">
                  <c:v>objective_USD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'DevNet_load&lt;&gt;SystemCost'!$J$11:$J$16</c:f>
              <c:numCache>
                <c:formatCode>#,##0.00</c:formatCode>
                <c:ptCount val="6"/>
                <c:pt idx="0">
                  <c:v>30000</c:v>
                </c:pt>
                <c:pt idx="1">
                  <c:v>36000</c:v>
                </c:pt>
                <c:pt idx="2">
                  <c:v>42000</c:v>
                </c:pt>
                <c:pt idx="3">
                  <c:v>48000</c:v>
                </c:pt>
                <c:pt idx="4">
                  <c:v>54000</c:v>
                </c:pt>
                <c:pt idx="5">
                  <c:v>60000</c:v>
                </c:pt>
              </c:numCache>
            </c:numRef>
          </c:cat>
          <c:val>
            <c:numRef>
              <c:f>'DevNet_load&lt;&gt;SystemCost'!$L$11:$L$16</c:f>
              <c:numCache>
                <c:formatCode>#,##0</c:formatCode>
                <c:ptCount val="6"/>
                <c:pt idx="0">
                  <c:v>1500000</c:v>
                </c:pt>
                <c:pt idx="1">
                  <c:v>1800000</c:v>
                </c:pt>
                <c:pt idx="2">
                  <c:v>2100000</c:v>
                </c:pt>
                <c:pt idx="3">
                  <c:v>2400000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AC-47A8-9071-09211745E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5386111"/>
        <c:axId val="41538419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'DevNet_load&lt;&gt;SystemCost'!$K$10</c15:sqref>
                        </c15:formulaRef>
                      </c:ext>
                    </c:extLst>
                    <c:strCache>
                      <c:ptCount val="1"/>
                      <c:pt idx="0">
                        <c:v>System Operating Cost ($)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'DevNet_load&lt;&gt;SystemCost'!$J$11:$J$16</c15:sqref>
                        </c15:formulaRef>
                      </c:ext>
                    </c:extLst>
                    <c:numCache>
                      <c:formatCode>#,##0.00</c:formatCode>
                      <c:ptCount val="6"/>
                      <c:pt idx="0">
                        <c:v>30000</c:v>
                      </c:pt>
                      <c:pt idx="1">
                        <c:v>36000</c:v>
                      </c:pt>
                      <c:pt idx="2">
                        <c:v>42000</c:v>
                      </c:pt>
                      <c:pt idx="3">
                        <c:v>48000</c:v>
                      </c:pt>
                      <c:pt idx="4">
                        <c:v>54000</c:v>
                      </c:pt>
                      <c:pt idx="5">
                        <c:v>60000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'DevNet_load&lt;&gt;SystemCost'!$K$11:$K$16</c15:sqref>
                        </c15:formulaRef>
                      </c:ext>
                    </c:extLst>
                    <c:numCache>
                      <c:formatCode>#,##0.00</c:formatCode>
                      <c:ptCount val="6"/>
                      <c:pt idx="0">
                        <c:v>1500000</c:v>
                      </c:pt>
                      <c:pt idx="1">
                        <c:v>1800000</c:v>
                      </c:pt>
                      <c:pt idx="2">
                        <c:v>2100000</c:v>
                      </c:pt>
                      <c:pt idx="3">
                        <c:v>2400000</c:v>
                      </c:pt>
                      <c:pt idx="4">
                        <c:v>2700000</c:v>
                      </c:pt>
                      <c:pt idx="5">
                        <c:v>3000000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4AC-47A8-9071-09211745E63C}"/>
                  </c:ext>
                </c:extLst>
              </c15:ser>
            </c15:filteredLineSeries>
          </c:ext>
        </c:extLst>
      </c:lineChart>
      <c:catAx>
        <c:axId val="415386111"/>
        <c:scaling>
          <c:orientation val="minMax"/>
        </c:scaling>
        <c:delete val="0"/>
        <c:axPos val="b"/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384191"/>
        <c:crosses val="autoZero"/>
        <c:auto val="1"/>
        <c:lblAlgn val="ctr"/>
        <c:lblOffset val="100"/>
        <c:noMultiLvlLbl val="0"/>
      </c:catAx>
      <c:valAx>
        <c:axId val="41538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386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1295638</xdr:colOff>
      <xdr:row>18</xdr:row>
      <xdr:rowOff>55483</xdr:rowOff>
    </xdr:from>
    <xdr:to>
      <xdr:col>15</xdr:col>
      <xdr:colOff>1194196</xdr:colOff>
      <xdr:row>33</xdr:row>
      <xdr:rowOff>135016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8619F3-8A90-1BFB-87FF-F8484125A6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16</xdr:col>
      <xdr:colOff>361473</xdr:colOff>
      <xdr:row>18</xdr:row>
      <xdr:rowOff>59532</xdr:rowOff>
    </xdr:from>
    <xdr:to>
      <xdr:col>19</xdr:col>
      <xdr:colOff>303847</xdr:colOff>
      <xdr:row>33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7E9C2D-1D9B-4872-B1A4-437CBEC130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281701</xdr:colOff>
      <xdr:row>22</xdr:row>
      <xdr:rowOff>146446</xdr:rowOff>
    </xdr:from>
    <xdr:to>
      <xdr:col>10</xdr:col>
      <xdr:colOff>563641</xdr:colOff>
      <xdr:row>38</xdr:row>
      <xdr:rowOff>30241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170F01-6DA2-E62F-F8D6-D22781163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17620-D246-448C-BD50-9E2A876F1E1F}">
  <dimension ref="B2:U15"/>
  <sheetViews>
    <sheetView tabSelected="1" zoomScale="80" zoomScaleNormal="80" workbookViewId="0">
      <selection activeCell="H24" sqref="H24"/>
    </sheetView>
  </sheetViews>
  <sheetFormatPr defaultRowHeight="14.4" x14ac:dyDescent="0.3"/>
  <cols>
    <col min="1" max="1" width="8.88671875" style="1"/>
    <col min="2" max="8" width="10.77734375" style="1" customWidth="1"/>
    <col min="9" max="9" width="8.88671875" style="1"/>
    <col min="11" max="11" width="8.77734375" style="1" customWidth="1"/>
    <col min="12" max="12" width="20.77734375" style="1" customWidth="1"/>
    <col min="13" max="15" width="15.77734375" style="1" customWidth="1"/>
    <col min="16" max="16" width="25.77734375" style="1" customWidth="1"/>
    <col min="17" max="17" width="20.77734375" style="1" customWidth="1"/>
    <col min="18" max="18" width="25.77734375" style="1" customWidth="1"/>
    <col min="19" max="19" width="20.77734375" style="1" customWidth="1"/>
    <col min="20" max="20" width="25.77734375" style="1" customWidth="1"/>
    <col min="21" max="21" width="20.77734375" style="1" customWidth="1"/>
    <col min="22" max="22" width="1.77734375" style="1" customWidth="1"/>
    <col min="23" max="16384" width="8.88671875" style="1"/>
  </cols>
  <sheetData>
    <row r="2" spans="2:21" x14ac:dyDescent="0.3">
      <c r="B2" s="2" t="s">
        <v>35</v>
      </c>
    </row>
    <row r="3" spans="2:21" x14ac:dyDescent="0.3">
      <c r="B3" s="2" t="s">
        <v>56</v>
      </c>
      <c r="D3" s="2" t="s">
        <v>57</v>
      </c>
    </row>
    <row r="4" spans="2:21" x14ac:dyDescent="0.3">
      <c r="B4" s="3" t="s">
        <v>12</v>
      </c>
      <c r="C4" s="4" t="s">
        <v>13</v>
      </c>
      <c r="D4" s="4"/>
      <c r="E4" s="4"/>
      <c r="F4" s="4"/>
      <c r="G4" s="4"/>
      <c r="H4" s="4"/>
      <c r="K4" s="3"/>
      <c r="L4" s="3"/>
      <c r="M4" s="3"/>
      <c r="N4" s="3"/>
      <c r="O4" s="3"/>
    </row>
    <row r="5" spans="2:21" ht="43.2" x14ac:dyDescent="0.3">
      <c r="B5" s="3" t="s">
        <v>0</v>
      </c>
      <c r="C5" s="5" t="s">
        <v>1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6"/>
      <c r="J5" s="5" t="s">
        <v>38</v>
      </c>
      <c r="K5" s="5" t="s">
        <v>7</v>
      </c>
      <c r="L5" s="5" t="s">
        <v>14</v>
      </c>
      <c r="M5" s="5" t="s">
        <v>8</v>
      </c>
      <c r="N5" s="5" t="s">
        <v>9</v>
      </c>
      <c r="O5" s="5" t="s">
        <v>10</v>
      </c>
      <c r="P5" s="3" t="s">
        <v>15</v>
      </c>
      <c r="Q5" s="5" t="s">
        <v>34</v>
      </c>
      <c r="R5" s="3" t="s">
        <v>16</v>
      </c>
      <c r="S5" s="5" t="s">
        <v>34</v>
      </c>
      <c r="T5" s="3" t="s">
        <v>17</v>
      </c>
      <c r="U5" s="5" t="s">
        <v>34</v>
      </c>
    </row>
    <row r="6" spans="2:21" x14ac:dyDescent="0.3">
      <c r="B6" s="8">
        <v>1</v>
      </c>
      <c r="C6" s="7">
        <v>70</v>
      </c>
      <c r="D6" s="7">
        <v>70</v>
      </c>
      <c r="E6" s="7">
        <v>70</v>
      </c>
      <c r="F6" s="7">
        <v>60</v>
      </c>
      <c r="G6" s="7">
        <v>70</v>
      </c>
      <c r="H6" s="7">
        <v>50</v>
      </c>
      <c r="J6" t="s">
        <v>82</v>
      </c>
      <c r="K6" s="9" t="s">
        <v>11</v>
      </c>
      <c r="L6" s="8">
        <v>2210000</v>
      </c>
      <c r="M6" s="8">
        <v>0</v>
      </c>
      <c r="N6" s="7">
        <v>1</v>
      </c>
      <c r="O6" s="8">
        <v>1</v>
      </c>
      <c r="P6" s="11" t="s">
        <v>18</v>
      </c>
      <c r="Q6" s="12" t="s">
        <v>19</v>
      </c>
      <c r="R6" s="11" t="s">
        <v>29</v>
      </c>
      <c r="S6" s="12" t="s">
        <v>25</v>
      </c>
      <c r="T6" s="11" t="s">
        <v>20</v>
      </c>
      <c r="U6" s="12" t="s">
        <v>33</v>
      </c>
    </row>
    <row r="7" spans="2:21" x14ac:dyDescent="0.3">
      <c r="B7" s="8">
        <v>2</v>
      </c>
      <c r="C7" s="7">
        <v>70</v>
      </c>
      <c r="D7" s="7">
        <v>70</v>
      </c>
      <c r="E7" s="7">
        <v>70</v>
      </c>
      <c r="F7" s="7">
        <v>60</v>
      </c>
      <c r="G7" s="7">
        <v>50</v>
      </c>
      <c r="H7" s="7">
        <v>70</v>
      </c>
      <c r="J7" t="s">
        <v>81</v>
      </c>
      <c r="K7" s="9" t="s">
        <v>11</v>
      </c>
      <c r="L7" s="8">
        <v>2210000</v>
      </c>
      <c r="M7" s="8">
        <v>0</v>
      </c>
      <c r="N7" s="7">
        <v>1</v>
      </c>
      <c r="O7" s="8">
        <v>1</v>
      </c>
      <c r="P7" s="11" t="s">
        <v>18</v>
      </c>
      <c r="Q7" s="12" t="s">
        <v>19</v>
      </c>
      <c r="R7" s="11" t="s">
        <v>28</v>
      </c>
      <c r="S7" s="12" t="s">
        <v>31</v>
      </c>
      <c r="T7" s="11" t="s">
        <v>24</v>
      </c>
      <c r="U7" s="12" t="s">
        <v>32</v>
      </c>
    </row>
    <row r="8" spans="2:21" x14ac:dyDescent="0.3">
      <c r="B8" s="8">
        <v>3</v>
      </c>
      <c r="C8" s="7">
        <v>70</v>
      </c>
      <c r="D8" s="7">
        <v>70</v>
      </c>
      <c r="E8" s="7">
        <v>70</v>
      </c>
      <c r="F8" s="7">
        <v>60</v>
      </c>
      <c r="G8" s="7">
        <v>70</v>
      </c>
      <c r="H8" s="7">
        <v>70</v>
      </c>
      <c r="J8" t="s">
        <v>77</v>
      </c>
      <c r="K8" s="9" t="s">
        <v>11</v>
      </c>
      <c r="L8" s="8">
        <v>2370000</v>
      </c>
      <c r="M8" s="8">
        <v>0</v>
      </c>
      <c r="N8" s="7">
        <v>1</v>
      </c>
      <c r="O8" s="8">
        <v>1</v>
      </c>
      <c r="P8" s="11" t="s">
        <v>18</v>
      </c>
      <c r="Q8" s="12" t="s">
        <v>19</v>
      </c>
      <c r="R8" s="11" t="s">
        <v>20</v>
      </c>
      <c r="S8" s="12" t="s">
        <v>23</v>
      </c>
      <c r="T8" s="11" t="s">
        <v>24</v>
      </c>
      <c r="U8" s="12" t="s">
        <v>25</v>
      </c>
    </row>
    <row r="9" spans="2:21" x14ac:dyDescent="0.3">
      <c r="B9" s="8">
        <v>4</v>
      </c>
      <c r="C9" s="7">
        <v>70</v>
      </c>
      <c r="D9" s="7">
        <v>70</v>
      </c>
      <c r="E9" s="7">
        <v>50</v>
      </c>
      <c r="F9" s="7">
        <v>60</v>
      </c>
      <c r="G9" s="7">
        <v>70</v>
      </c>
      <c r="H9" s="7">
        <v>70</v>
      </c>
      <c r="J9" t="s">
        <v>78</v>
      </c>
      <c r="K9" s="9" t="s">
        <v>11</v>
      </c>
      <c r="L9" s="8">
        <v>2210000</v>
      </c>
      <c r="M9" s="8">
        <v>0</v>
      </c>
      <c r="N9" s="7">
        <v>1</v>
      </c>
      <c r="O9" s="8">
        <v>1</v>
      </c>
      <c r="P9" s="11" t="s">
        <v>18</v>
      </c>
      <c r="Q9" s="12" t="s">
        <v>19</v>
      </c>
      <c r="R9" s="11" t="s">
        <v>24</v>
      </c>
      <c r="S9" s="12" t="s">
        <v>26</v>
      </c>
      <c r="T9" s="11" t="s">
        <v>21</v>
      </c>
      <c r="U9" s="12" t="s">
        <v>27</v>
      </c>
    </row>
    <row r="10" spans="2:21" x14ac:dyDescent="0.3">
      <c r="B10" s="8">
        <v>5</v>
      </c>
      <c r="C10" s="7">
        <v>50</v>
      </c>
      <c r="D10" s="7">
        <v>70</v>
      </c>
      <c r="E10" s="7">
        <v>70</v>
      </c>
      <c r="F10" s="7">
        <v>60</v>
      </c>
      <c r="G10" s="7">
        <v>70</v>
      </c>
      <c r="H10" s="7">
        <v>70</v>
      </c>
      <c r="J10" t="s">
        <v>80</v>
      </c>
      <c r="K10" s="9" t="s">
        <v>11</v>
      </c>
      <c r="L10" s="8">
        <v>2210000</v>
      </c>
      <c r="M10" s="8">
        <v>0</v>
      </c>
      <c r="N10" s="7">
        <v>0.6</v>
      </c>
      <c r="O10" s="8">
        <v>0</v>
      </c>
      <c r="P10" s="11" t="s">
        <v>28</v>
      </c>
      <c r="Q10" s="12" t="s">
        <v>31</v>
      </c>
      <c r="R10" s="11" t="s">
        <v>29</v>
      </c>
      <c r="S10" s="12" t="s">
        <v>26</v>
      </c>
      <c r="T10" s="11" t="s">
        <v>18</v>
      </c>
      <c r="U10" s="12" t="s">
        <v>30</v>
      </c>
    </row>
    <row r="11" spans="2:21" x14ac:dyDescent="0.3">
      <c r="B11" s="8">
        <v>6</v>
      </c>
      <c r="C11" s="7">
        <v>70</v>
      </c>
      <c r="D11" s="7">
        <v>50</v>
      </c>
      <c r="E11" s="7">
        <v>70</v>
      </c>
      <c r="F11" s="7">
        <v>60</v>
      </c>
      <c r="G11" s="7">
        <v>70</v>
      </c>
      <c r="H11" s="7">
        <v>70</v>
      </c>
      <c r="J11" t="s">
        <v>79</v>
      </c>
      <c r="K11" s="9" t="s">
        <v>11</v>
      </c>
      <c r="L11" s="8">
        <v>2210000</v>
      </c>
      <c r="M11" s="8">
        <v>0</v>
      </c>
      <c r="N11" s="7">
        <v>1</v>
      </c>
      <c r="O11" s="8">
        <v>1</v>
      </c>
      <c r="P11" s="11" t="s">
        <v>28</v>
      </c>
      <c r="Q11" s="12" t="s">
        <v>19</v>
      </c>
      <c r="R11" s="11" t="s">
        <v>29</v>
      </c>
      <c r="S11" s="12" t="s">
        <v>26</v>
      </c>
      <c r="T11" s="11" t="s">
        <v>18</v>
      </c>
      <c r="U11" s="12" t="s">
        <v>30</v>
      </c>
    </row>
    <row r="12" spans="2:21" x14ac:dyDescent="0.3">
      <c r="B12" s="8">
        <v>7</v>
      </c>
      <c r="C12" s="7">
        <v>70</v>
      </c>
      <c r="D12" s="7">
        <v>50</v>
      </c>
      <c r="E12" s="7">
        <v>50</v>
      </c>
      <c r="F12" s="7">
        <v>60</v>
      </c>
      <c r="G12" s="7">
        <v>70</v>
      </c>
      <c r="H12" s="7">
        <v>70</v>
      </c>
      <c r="J12" t="s">
        <v>84</v>
      </c>
      <c r="K12" s="9" t="s">
        <v>11</v>
      </c>
      <c r="L12" s="8">
        <v>2050000</v>
      </c>
      <c r="M12" s="8">
        <v>0</v>
      </c>
      <c r="N12" s="7">
        <v>1</v>
      </c>
      <c r="O12" s="8">
        <v>1</v>
      </c>
      <c r="P12" s="11" t="s">
        <v>28</v>
      </c>
      <c r="Q12" s="12" t="s">
        <v>19</v>
      </c>
      <c r="R12" s="11" t="s">
        <v>29</v>
      </c>
      <c r="S12" s="12" t="s">
        <v>26</v>
      </c>
      <c r="T12" s="11" t="s">
        <v>18</v>
      </c>
      <c r="U12" s="12" t="s">
        <v>30</v>
      </c>
    </row>
    <row r="13" spans="2:21" x14ac:dyDescent="0.3">
      <c r="B13" s="8">
        <v>8</v>
      </c>
      <c r="C13" s="7">
        <v>50</v>
      </c>
      <c r="D13" s="7">
        <v>50</v>
      </c>
      <c r="E13" s="7">
        <v>50</v>
      </c>
      <c r="F13" s="7">
        <v>60</v>
      </c>
      <c r="G13" s="7">
        <v>50</v>
      </c>
      <c r="H13" s="7">
        <v>50</v>
      </c>
      <c r="J13" t="s">
        <v>76</v>
      </c>
      <c r="K13" s="9" t="s">
        <v>11</v>
      </c>
      <c r="L13" s="8">
        <v>1753000</v>
      </c>
      <c r="M13" s="10">
        <v>10</v>
      </c>
      <c r="N13" s="7">
        <v>1</v>
      </c>
      <c r="O13" s="8">
        <v>2</v>
      </c>
      <c r="P13" s="11" t="s">
        <v>18</v>
      </c>
      <c r="Q13" s="12" t="s">
        <v>19</v>
      </c>
      <c r="R13" s="11" t="s">
        <v>20</v>
      </c>
      <c r="S13" s="12" t="s">
        <v>19</v>
      </c>
      <c r="T13" s="11" t="s">
        <v>21</v>
      </c>
      <c r="U13" s="12" t="s">
        <v>22</v>
      </c>
    </row>
    <row r="14" spans="2:21" x14ac:dyDescent="0.3">
      <c r="B14" s="8">
        <v>9</v>
      </c>
      <c r="C14" s="7">
        <v>50</v>
      </c>
      <c r="D14" s="7">
        <v>50</v>
      </c>
      <c r="E14" s="7">
        <v>50</v>
      </c>
      <c r="F14" s="7">
        <v>60</v>
      </c>
      <c r="G14" s="7">
        <v>50</v>
      </c>
      <c r="H14" s="7">
        <v>70</v>
      </c>
      <c r="J14" t="s">
        <v>85</v>
      </c>
      <c r="K14" s="9" t="s">
        <v>11</v>
      </c>
      <c r="L14" s="8">
        <v>1790000</v>
      </c>
      <c r="M14" s="10">
        <v>10</v>
      </c>
      <c r="N14" s="7">
        <v>1</v>
      </c>
      <c r="O14" s="8">
        <v>1</v>
      </c>
      <c r="P14" s="11" t="s">
        <v>18</v>
      </c>
      <c r="Q14" s="12" t="s">
        <v>19</v>
      </c>
      <c r="R14" s="11" t="s">
        <v>20</v>
      </c>
      <c r="S14" s="12" t="s">
        <v>23</v>
      </c>
      <c r="T14" s="11" t="s">
        <v>24</v>
      </c>
      <c r="U14" s="12" t="s">
        <v>25</v>
      </c>
    </row>
    <row r="15" spans="2:21" x14ac:dyDescent="0.3">
      <c r="B15" s="8">
        <v>10</v>
      </c>
      <c r="C15" s="7">
        <v>50</v>
      </c>
      <c r="D15" s="7">
        <v>50</v>
      </c>
      <c r="E15" s="7">
        <v>50</v>
      </c>
      <c r="F15" s="7">
        <v>60</v>
      </c>
      <c r="G15" s="7">
        <v>70</v>
      </c>
      <c r="H15" s="7">
        <v>70</v>
      </c>
      <c r="J15" t="s">
        <v>83</v>
      </c>
      <c r="K15" s="9" t="s">
        <v>11</v>
      </c>
      <c r="L15" s="8">
        <v>1910000</v>
      </c>
      <c r="M15" s="10">
        <v>20</v>
      </c>
      <c r="N15" s="7">
        <v>1</v>
      </c>
      <c r="O15" s="8">
        <v>1</v>
      </c>
      <c r="P15" s="11" t="s">
        <v>18</v>
      </c>
      <c r="Q15" s="12" t="s">
        <v>19</v>
      </c>
      <c r="R15" s="11" t="s">
        <v>20</v>
      </c>
      <c r="S15" s="12" t="s">
        <v>23</v>
      </c>
      <c r="T15" s="11" t="s">
        <v>24</v>
      </c>
      <c r="U15" s="12" t="s">
        <v>25</v>
      </c>
    </row>
  </sheetData>
  <pageMargins left="0.7" right="0.7" top="0.75" bottom="0.75" header="0.3" footer="0.3"/>
  <ignoredErrors>
    <ignoredError sqref="Q15 S15 U15 U14 S14 Q14 Q6:Q12 S6:S12 U6:U12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0345-51F7-4EF5-A7EE-15839BFCDB90}">
  <dimension ref="B2:O16"/>
  <sheetViews>
    <sheetView zoomScale="80" zoomScaleNormal="80" workbookViewId="0">
      <selection activeCell="J11" sqref="J11"/>
    </sheetView>
  </sheetViews>
  <sheetFormatPr defaultRowHeight="14.4" x14ac:dyDescent="0.3"/>
  <cols>
    <col min="1" max="1" width="8.88671875" style="1"/>
    <col min="2" max="3" width="10.77734375" style="1" customWidth="1"/>
    <col min="4" max="15" width="20.77734375" style="1" customWidth="1"/>
    <col min="16" max="16384" width="8.88671875" style="1"/>
  </cols>
  <sheetData>
    <row r="2" spans="2:15" x14ac:dyDescent="0.3">
      <c r="B2" s="2" t="s">
        <v>36</v>
      </c>
    </row>
    <row r="3" spans="2:15" x14ac:dyDescent="0.3">
      <c r="B3" s="2" t="s">
        <v>56</v>
      </c>
      <c r="D3" s="2" t="s">
        <v>57</v>
      </c>
    </row>
    <row r="4" spans="2:15" ht="15" thickBot="1" x14ac:dyDescent="0.35">
      <c r="B4" s="3" t="s">
        <v>12</v>
      </c>
      <c r="C4" s="4" t="s">
        <v>37</v>
      </c>
    </row>
    <row r="5" spans="2:15" ht="18.600000000000001" thickBot="1" x14ac:dyDescent="0.35">
      <c r="B5" s="13" t="s">
        <v>52</v>
      </c>
      <c r="C5" s="4"/>
    </row>
    <row r="6" spans="2:15" ht="18.600000000000001" thickBot="1" x14ac:dyDescent="0.35">
      <c r="B6" s="13" t="s">
        <v>72</v>
      </c>
      <c r="C6" s="4"/>
      <c r="D6" s="1" t="s">
        <v>71</v>
      </c>
      <c r="E6" s="14">
        <v>6</v>
      </c>
    </row>
    <row r="7" spans="2:15" ht="18.600000000000001" thickBot="1" x14ac:dyDescent="0.35">
      <c r="B7" s="13" t="s">
        <v>73</v>
      </c>
      <c r="C7" s="4"/>
      <c r="D7" s="1" t="s">
        <v>71</v>
      </c>
      <c r="E7" s="8">
        <v>50</v>
      </c>
    </row>
    <row r="8" spans="2:15" ht="18.600000000000001" thickBot="1" x14ac:dyDescent="0.35">
      <c r="B8" s="13" t="s">
        <v>74</v>
      </c>
      <c r="C8" s="4"/>
      <c r="D8" s="1" t="s">
        <v>71</v>
      </c>
      <c r="E8" s="14">
        <v>5000</v>
      </c>
    </row>
    <row r="9" spans="2:15" x14ac:dyDescent="0.3">
      <c r="B9" s="3"/>
      <c r="C9" s="4"/>
    </row>
    <row r="10" spans="2:15" ht="28.8" x14ac:dyDescent="0.3">
      <c r="B10" s="15" t="s">
        <v>38</v>
      </c>
      <c r="C10" s="15" t="s">
        <v>7</v>
      </c>
      <c r="D10" s="15" t="s">
        <v>39</v>
      </c>
      <c r="E10" s="15" t="s">
        <v>40</v>
      </c>
      <c r="F10" s="15" t="s">
        <v>41</v>
      </c>
      <c r="G10" s="15" t="s">
        <v>42</v>
      </c>
      <c r="H10" s="15" t="s">
        <v>43</v>
      </c>
      <c r="I10" s="15" t="s">
        <v>44</v>
      </c>
      <c r="J10" s="15" t="s">
        <v>53</v>
      </c>
      <c r="K10" s="15" t="s">
        <v>54</v>
      </c>
      <c r="L10" s="15" t="s">
        <v>45</v>
      </c>
      <c r="M10" s="15" t="s">
        <v>8</v>
      </c>
      <c r="N10" s="15" t="s">
        <v>9</v>
      </c>
      <c r="O10" s="15" t="s">
        <v>10</v>
      </c>
    </row>
    <row r="11" spans="2:15" x14ac:dyDescent="0.3">
      <c r="B11" s="1" t="s">
        <v>46</v>
      </c>
      <c r="C11" s="1" t="s">
        <v>11</v>
      </c>
      <c r="D11" s="7">
        <v>1</v>
      </c>
      <c r="E11" s="7">
        <v>1</v>
      </c>
      <c r="F11" s="7">
        <v>1</v>
      </c>
      <c r="G11" s="7">
        <v>1</v>
      </c>
      <c r="H11" s="7">
        <v>1</v>
      </c>
      <c r="I11" s="7">
        <v>1</v>
      </c>
      <c r="J11" s="16">
        <f>SUM((D11*$E$8) + (E11*$E$8) + (F11*$E$8) + (G11*$E$8) + (H11*$E$8) + (I11*$E$8))</f>
        <v>30000</v>
      </c>
      <c r="K11" s="16">
        <f>$E$7*J11</f>
        <v>1500000</v>
      </c>
      <c r="L11" s="8">
        <v>1500000</v>
      </c>
      <c r="M11" s="8">
        <v>0</v>
      </c>
      <c r="N11" s="7">
        <v>1</v>
      </c>
      <c r="O11" s="8">
        <v>2</v>
      </c>
    </row>
    <row r="12" spans="2:15" x14ac:dyDescent="0.3">
      <c r="B12" s="1" t="s">
        <v>47</v>
      </c>
      <c r="C12" s="1" t="s">
        <v>11</v>
      </c>
      <c r="D12" s="7">
        <v>1.2</v>
      </c>
      <c r="E12" s="7">
        <v>1.2</v>
      </c>
      <c r="F12" s="7">
        <v>1.2</v>
      </c>
      <c r="G12" s="7">
        <v>1.2</v>
      </c>
      <c r="H12" s="7">
        <v>1.2</v>
      </c>
      <c r="I12" s="7">
        <v>1.2</v>
      </c>
      <c r="J12" s="16">
        <f t="shared" ref="J12:J16" si="0">SUM((D12*$E$8) + (E12*$E$8) + (F12*$E$8) + (G12*$E$8) + (H12*$E$8) + (I12*$E$8))</f>
        <v>36000</v>
      </c>
      <c r="K12" s="16">
        <f t="shared" ref="K12:K16" si="1">$E$7*J12</f>
        <v>1800000</v>
      </c>
      <c r="L12" s="8">
        <v>1800000</v>
      </c>
      <c r="M12" s="8">
        <v>0</v>
      </c>
      <c r="N12" s="7">
        <v>0.8</v>
      </c>
      <c r="O12" s="8">
        <v>0</v>
      </c>
    </row>
    <row r="13" spans="2:15" x14ac:dyDescent="0.3">
      <c r="B13" s="1" t="s">
        <v>48</v>
      </c>
      <c r="C13" s="1" t="s">
        <v>11</v>
      </c>
      <c r="D13" s="7">
        <v>1.4</v>
      </c>
      <c r="E13" s="7">
        <v>1.4</v>
      </c>
      <c r="F13" s="7">
        <v>1.4</v>
      </c>
      <c r="G13" s="7">
        <v>1.4</v>
      </c>
      <c r="H13" s="7">
        <v>1.4</v>
      </c>
      <c r="I13" s="7">
        <v>1.4</v>
      </c>
      <c r="J13" s="16">
        <f t="shared" si="0"/>
        <v>42000</v>
      </c>
      <c r="K13" s="16">
        <f t="shared" si="1"/>
        <v>2100000</v>
      </c>
      <c r="L13" s="8">
        <v>2100000</v>
      </c>
      <c r="M13" s="8">
        <v>0</v>
      </c>
      <c r="N13" s="7">
        <v>0.5</v>
      </c>
      <c r="O13" s="8">
        <v>0</v>
      </c>
    </row>
    <row r="14" spans="2:15" x14ac:dyDescent="0.3">
      <c r="B14" s="1" t="s">
        <v>49</v>
      </c>
      <c r="C14" s="1" t="s">
        <v>11</v>
      </c>
      <c r="D14" s="7">
        <v>1.6</v>
      </c>
      <c r="E14" s="7">
        <v>1.6</v>
      </c>
      <c r="F14" s="7">
        <v>1.6</v>
      </c>
      <c r="G14" s="7">
        <v>1.6</v>
      </c>
      <c r="H14" s="7">
        <v>1.6</v>
      </c>
      <c r="I14" s="7">
        <v>1.6</v>
      </c>
      <c r="J14" s="16">
        <f t="shared" si="0"/>
        <v>48000</v>
      </c>
      <c r="K14" s="16">
        <f t="shared" si="1"/>
        <v>2400000</v>
      </c>
      <c r="L14" s="8">
        <v>2400000</v>
      </c>
      <c r="M14" s="8">
        <v>0</v>
      </c>
      <c r="N14" s="7">
        <v>0</v>
      </c>
      <c r="O14" s="8">
        <v>0</v>
      </c>
    </row>
    <row r="15" spans="2:15" x14ac:dyDescent="0.3">
      <c r="B15" s="1" t="s">
        <v>50</v>
      </c>
      <c r="C15" s="1" t="s">
        <v>11</v>
      </c>
      <c r="D15" s="7">
        <v>1.8</v>
      </c>
      <c r="E15" s="7">
        <v>1.8</v>
      </c>
      <c r="F15" s="7">
        <v>1.8</v>
      </c>
      <c r="G15" s="7">
        <v>1.8</v>
      </c>
      <c r="H15" s="7">
        <v>1.8</v>
      </c>
      <c r="I15" s="7">
        <v>1.8</v>
      </c>
      <c r="J15" s="16">
        <f t="shared" si="0"/>
        <v>54000</v>
      </c>
      <c r="K15" s="16">
        <f t="shared" si="1"/>
        <v>2700000</v>
      </c>
      <c r="L15" s="17" t="s">
        <v>55</v>
      </c>
      <c r="M15" s="17" t="s">
        <v>55</v>
      </c>
      <c r="N15" s="17" t="s">
        <v>55</v>
      </c>
      <c r="O15" s="8">
        <v>0</v>
      </c>
    </row>
    <row r="16" spans="2:15" x14ac:dyDescent="0.3">
      <c r="B16" s="1" t="s">
        <v>51</v>
      </c>
      <c r="C16" s="1" t="s">
        <v>11</v>
      </c>
      <c r="D16" s="7">
        <v>2</v>
      </c>
      <c r="E16" s="7">
        <v>2</v>
      </c>
      <c r="F16" s="7">
        <v>2</v>
      </c>
      <c r="G16" s="7">
        <v>2</v>
      </c>
      <c r="H16" s="7">
        <v>2</v>
      </c>
      <c r="I16" s="7">
        <v>2</v>
      </c>
      <c r="J16" s="16">
        <f t="shared" si="0"/>
        <v>60000</v>
      </c>
      <c r="K16" s="16">
        <f t="shared" si="1"/>
        <v>3000000</v>
      </c>
      <c r="L16" s="17" t="s">
        <v>55</v>
      </c>
      <c r="M16" s="17" t="s">
        <v>55</v>
      </c>
      <c r="N16" s="17" t="s">
        <v>55</v>
      </c>
      <c r="O16" s="8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CF0BC-771C-4579-B778-06B9A363C61B}">
  <dimension ref="B2:V21"/>
  <sheetViews>
    <sheetView topLeftCell="G1" zoomScale="70" zoomScaleNormal="70" workbookViewId="0">
      <selection activeCell="S29" sqref="S29"/>
    </sheetView>
  </sheetViews>
  <sheetFormatPr defaultRowHeight="14.4" x14ac:dyDescent="0.3"/>
  <cols>
    <col min="1" max="1" width="8.88671875" style="1"/>
    <col min="2" max="3" width="10.77734375" style="1" customWidth="1"/>
    <col min="4" max="12" width="20.77734375" style="1" customWidth="1"/>
    <col min="13" max="16" width="15.77734375" style="1" customWidth="1"/>
    <col min="17" max="17" width="25.77734375" style="1" customWidth="1"/>
    <col min="18" max="18" width="20.77734375" style="1" customWidth="1"/>
    <col min="19" max="19" width="25.77734375" style="1" customWidth="1"/>
    <col min="20" max="20" width="20.77734375" style="1" customWidth="1"/>
    <col min="21" max="21" width="25.77734375" style="1" customWidth="1"/>
    <col min="22" max="22" width="20.77734375" style="1" customWidth="1"/>
    <col min="23" max="23" width="1.77734375" style="1" customWidth="1"/>
    <col min="24" max="16384" width="8.88671875" style="1"/>
  </cols>
  <sheetData>
    <row r="2" spans="2:22" x14ac:dyDescent="0.3">
      <c r="B2" s="2" t="s">
        <v>36</v>
      </c>
    </row>
    <row r="3" spans="2:22" x14ac:dyDescent="0.3">
      <c r="B3" s="2" t="s">
        <v>56</v>
      </c>
      <c r="D3" s="2" t="s">
        <v>57</v>
      </c>
    </row>
    <row r="4" spans="2:22" ht="15" thickBot="1" x14ac:dyDescent="0.35">
      <c r="B4" s="3" t="s">
        <v>12</v>
      </c>
      <c r="C4" s="4" t="s">
        <v>37</v>
      </c>
    </row>
    <row r="5" spans="2:22" ht="18.600000000000001" thickBot="1" x14ac:dyDescent="0.35">
      <c r="B5" s="13" t="s">
        <v>52</v>
      </c>
      <c r="C5" s="4"/>
    </row>
    <row r="6" spans="2:22" ht="18.600000000000001" thickBot="1" x14ac:dyDescent="0.35">
      <c r="B6" s="13" t="s">
        <v>72</v>
      </c>
      <c r="C6" s="4"/>
      <c r="D6" s="1" t="s">
        <v>71</v>
      </c>
      <c r="E6" s="14">
        <v>6</v>
      </c>
    </row>
    <row r="7" spans="2:22" ht="18.600000000000001" thickBot="1" x14ac:dyDescent="0.35">
      <c r="B7" s="13" t="s">
        <v>70</v>
      </c>
      <c r="C7" s="4"/>
      <c r="D7" s="1" t="s">
        <v>71</v>
      </c>
      <c r="E7" s="14">
        <v>5000</v>
      </c>
    </row>
    <row r="8" spans="2:22" ht="18.600000000000001" thickBot="1" x14ac:dyDescent="0.35">
      <c r="B8" s="13" t="s">
        <v>73</v>
      </c>
      <c r="C8" s="4"/>
      <c r="D8" s="1" t="s">
        <v>71</v>
      </c>
      <c r="E8" s="8">
        <v>50</v>
      </c>
    </row>
    <row r="9" spans="2:22" ht="18.600000000000001" thickBot="1" x14ac:dyDescent="0.35">
      <c r="B9" s="13" t="s">
        <v>74</v>
      </c>
      <c r="C9" s="4"/>
      <c r="D9" s="1" t="s">
        <v>71</v>
      </c>
      <c r="E9" s="14">
        <v>5000</v>
      </c>
    </row>
    <row r="10" spans="2:22" x14ac:dyDescent="0.3">
      <c r="B10" s="3"/>
      <c r="C10" s="4"/>
    </row>
    <row r="11" spans="2:22" ht="43.2" x14ac:dyDescent="0.3">
      <c r="B11" s="15" t="s">
        <v>38</v>
      </c>
      <c r="C11" s="15" t="s">
        <v>7</v>
      </c>
      <c r="D11" s="15" t="s">
        <v>64</v>
      </c>
      <c r="E11" s="15" t="s">
        <v>65</v>
      </c>
      <c r="F11" s="15" t="s">
        <v>66</v>
      </c>
      <c r="G11" s="15" t="s">
        <v>67</v>
      </c>
      <c r="H11" s="15" t="s">
        <v>68</v>
      </c>
      <c r="I11" s="15" t="s">
        <v>69</v>
      </c>
      <c r="J11" s="15" t="s">
        <v>75</v>
      </c>
      <c r="K11" s="15" t="s">
        <v>53</v>
      </c>
      <c r="L11" s="15" t="s">
        <v>54</v>
      </c>
      <c r="M11" s="15" t="s">
        <v>45</v>
      </c>
      <c r="N11" s="15" t="s">
        <v>8</v>
      </c>
      <c r="O11" s="15" t="s">
        <v>9</v>
      </c>
      <c r="P11" s="15" t="s">
        <v>10</v>
      </c>
      <c r="Q11" s="3" t="s">
        <v>15</v>
      </c>
      <c r="R11" s="5" t="s">
        <v>34</v>
      </c>
      <c r="S11" s="3" t="s">
        <v>16</v>
      </c>
      <c r="T11" s="5" t="s">
        <v>34</v>
      </c>
      <c r="U11" s="3" t="s">
        <v>17</v>
      </c>
      <c r="V11" s="5" t="s">
        <v>34</v>
      </c>
    </row>
    <row r="12" spans="2:22" x14ac:dyDescent="0.3">
      <c r="B12" s="1" t="s">
        <v>58</v>
      </c>
      <c r="C12" s="1" t="s">
        <v>11</v>
      </c>
      <c r="D12" s="7">
        <v>1</v>
      </c>
      <c r="E12" s="7">
        <v>1</v>
      </c>
      <c r="F12" s="7">
        <v>1</v>
      </c>
      <c r="G12" s="7">
        <v>1</v>
      </c>
      <c r="H12" s="7">
        <v>1</v>
      </c>
      <c r="I12" s="7">
        <v>1</v>
      </c>
      <c r="J12" s="16">
        <f>AVERAGE(D12:I12)*$E$9</f>
        <v>5000</v>
      </c>
      <c r="K12" s="16">
        <f>$E$6*$E$7</f>
        <v>30000</v>
      </c>
      <c r="L12" s="16">
        <f>$E$8*K12</f>
        <v>1500000</v>
      </c>
      <c r="M12" s="8">
        <v>1500000</v>
      </c>
      <c r="N12" s="8">
        <v>0</v>
      </c>
      <c r="O12" s="7">
        <v>1</v>
      </c>
      <c r="P12" s="8">
        <v>2</v>
      </c>
      <c r="Q12" s="11" t="s">
        <v>28</v>
      </c>
      <c r="R12" s="12" t="s">
        <v>19</v>
      </c>
      <c r="S12" s="11" t="s">
        <v>24</v>
      </c>
      <c r="T12" s="12" t="s">
        <v>19</v>
      </c>
      <c r="U12" s="11" t="s">
        <v>21</v>
      </c>
      <c r="V12" s="12">
        <v>0.87</v>
      </c>
    </row>
    <row r="13" spans="2:22" x14ac:dyDescent="0.3">
      <c r="B13" s="1" t="s">
        <v>59</v>
      </c>
      <c r="C13" s="1" t="s">
        <v>11</v>
      </c>
      <c r="D13" s="7">
        <v>0.8</v>
      </c>
      <c r="E13" s="7">
        <v>0.8</v>
      </c>
      <c r="F13" s="7">
        <v>0.8</v>
      </c>
      <c r="G13" s="7">
        <v>0.8</v>
      </c>
      <c r="H13" s="7">
        <v>0.8</v>
      </c>
      <c r="I13" s="7">
        <v>0.8</v>
      </c>
      <c r="J13" s="16">
        <f t="shared" ref="J13:J17" si="0">AVERAGE(D13:I13)*$E$9</f>
        <v>3999.9999999999995</v>
      </c>
      <c r="K13" s="16">
        <f t="shared" ref="K13:K17" si="1">$E$6*$E$7</f>
        <v>30000</v>
      </c>
      <c r="L13" s="16">
        <f t="shared" ref="L13:L17" si="2">$E$8*K13</f>
        <v>1500000</v>
      </c>
      <c r="M13" s="8">
        <v>1500000</v>
      </c>
      <c r="N13" s="8">
        <v>0</v>
      </c>
      <c r="O13" s="7">
        <v>1</v>
      </c>
      <c r="P13" s="8">
        <v>3</v>
      </c>
      <c r="Q13" s="11" t="s">
        <v>18</v>
      </c>
      <c r="R13" s="12" t="s">
        <v>19</v>
      </c>
      <c r="S13" s="11" t="s">
        <v>24</v>
      </c>
      <c r="T13" s="12" t="s">
        <v>19</v>
      </c>
      <c r="U13" s="11" t="s">
        <v>21</v>
      </c>
      <c r="V13" s="12" t="s">
        <v>19</v>
      </c>
    </row>
    <row r="14" spans="2:22" x14ac:dyDescent="0.3">
      <c r="B14" s="1" t="s">
        <v>60</v>
      </c>
      <c r="C14" s="1" t="s">
        <v>11</v>
      </c>
      <c r="D14" s="7">
        <v>0.6</v>
      </c>
      <c r="E14" s="7">
        <v>0.6</v>
      </c>
      <c r="F14" s="7">
        <v>0.6</v>
      </c>
      <c r="G14" s="7">
        <v>0.6</v>
      </c>
      <c r="H14" s="7">
        <v>0.6</v>
      </c>
      <c r="I14" s="7">
        <v>0.6</v>
      </c>
      <c r="J14" s="16">
        <f t="shared" si="0"/>
        <v>3000</v>
      </c>
      <c r="K14" s="16">
        <f t="shared" si="1"/>
        <v>30000</v>
      </c>
      <c r="L14" s="16">
        <f t="shared" si="2"/>
        <v>1500000</v>
      </c>
      <c r="M14" s="8">
        <v>1500000</v>
      </c>
      <c r="N14" s="8">
        <v>0</v>
      </c>
      <c r="O14" s="7">
        <v>1</v>
      </c>
      <c r="P14" s="8">
        <v>4</v>
      </c>
      <c r="Q14" s="11" t="s">
        <v>28</v>
      </c>
      <c r="R14" s="12" t="s">
        <v>19</v>
      </c>
      <c r="S14" s="11" t="s">
        <v>18</v>
      </c>
      <c r="T14" s="12" t="s">
        <v>19</v>
      </c>
      <c r="U14" s="11" t="s">
        <v>24</v>
      </c>
      <c r="V14" s="12" t="s">
        <v>19</v>
      </c>
    </row>
    <row r="15" spans="2:22" x14ac:dyDescent="0.3">
      <c r="B15" s="1" t="s">
        <v>61</v>
      </c>
      <c r="C15" s="1" t="s">
        <v>11</v>
      </c>
      <c r="D15" s="7">
        <v>0.4</v>
      </c>
      <c r="E15" s="7">
        <v>0.4</v>
      </c>
      <c r="F15" s="7">
        <v>0.4</v>
      </c>
      <c r="G15" s="7">
        <v>0.4</v>
      </c>
      <c r="H15" s="7">
        <v>0.4</v>
      </c>
      <c r="I15" s="7">
        <v>0.4</v>
      </c>
      <c r="J15" s="16">
        <f t="shared" si="0"/>
        <v>1999.9999999999998</v>
      </c>
      <c r="K15" s="16">
        <f t="shared" si="1"/>
        <v>30000</v>
      </c>
      <c r="L15" s="16">
        <f t="shared" si="2"/>
        <v>1500000</v>
      </c>
      <c r="M15" s="8">
        <v>1500000</v>
      </c>
      <c r="N15" s="8">
        <v>0</v>
      </c>
      <c r="O15" s="7">
        <v>1</v>
      </c>
      <c r="P15" s="8">
        <v>4</v>
      </c>
      <c r="Q15" s="11" t="s">
        <v>28</v>
      </c>
      <c r="R15" s="12" t="s">
        <v>19</v>
      </c>
      <c r="S15" s="11" t="s">
        <v>18</v>
      </c>
      <c r="T15" s="12" t="s">
        <v>19</v>
      </c>
      <c r="U15" s="11" t="s">
        <v>24</v>
      </c>
      <c r="V15" s="12" t="s">
        <v>19</v>
      </c>
    </row>
    <row r="16" spans="2:22" x14ac:dyDescent="0.3">
      <c r="B16" s="1" t="s">
        <v>62</v>
      </c>
      <c r="C16" s="1" t="s">
        <v>11</v>
      </c>
      <c r="D16" s="7">
        <v>0.2</v>
      </c>
      <c r="E16" s="7">
        <v>0.2</v>
      </c>
      <c r="F16" s="7">
        <v>0.2</v>
      </c>
      <c r="G16" s="7">
        <v>0.2</v>
      </c>
      <c r="H16" s="7">
        <v>0.2</v>
      </c>
      <c r="I16" s="7">
        <v>0.2</v>
      </c>
      <c r="J16" s="16">
        <f t="shared" si="0"/>
        <v>999.99999999999989</v>
      </c>
      <c r="K16" s="16">
        <f t="shared" si="1"/>
        <v>30000</v>
      </c>
      <c r="L16" s="16">
        <f t="shared" si="2"/>
        <v>1500000</v>
      </c>
      <c r="M16" s="17">
        <v>1500000</v>
      </c>
      <c r="N16" s="17">
        <v>0</v>
      </c>
      <c r="O16" s="12">
        <v>1</v>
      </c>
      <c r="P16" s="8">
        <v>6</v>
      </c>
      <c r="Q16" s="11" t="s">
        <v>28</v>
      </c>
      <c r="R16" s="12" t="s">
        <v>19</v>
      </c>
      <c r="S16" s="11" t="s">
        <v>18</v>
      </c>
      <c r="T16" s="12" t="s">
        <v>19</v>
      </c>
      <c r="U16" s="11" t="s">
        <v>24</v>
      </c>
      <c r="V16" s="12" t="s">
        <v>19</v>
      </c>
    </row>
    <row r="17" spans="2:22" x14ac:dyDescent="0.3">
      <c r="B17" s="1" t="s">
        <v>63</v>
      </c>
      <c r="C17" s="1" t="s">
        <v>11</v>
      </c>
      <c r="D17" s="7">
        <v>0.1</v>
      </c>
      <c r="E17" s="7">
        <v>0.1</v>
      </c>
      <c r="F17" s="7">
        <v>0.1</v>
      </c>
      <c r="G17" s="7">
        <v>0.1</v>
      </c>
      <c r="H17" s="7">
        <v>0.1</v>
      </c>
      <c r="I17" s="7">
        <v>0.1</v>
      </c>
      <c r="J17" s="16">
        <f t="shared" si="0"/>
        <v>499.99999999999994</v>
      </c>
      <c r="K17" s="16">
        <f t="shared" si="1"/>
        <v>30000</v>
      </c>
      <c r="L17" s="16">
        <f t="shared" si="2"/>
        <v>1500000</v>
      </c>
      <c r="M17" s="17">
        <v>1500000</v>
      </c>
      <c r="N17" s="17">
        <v>0</v>
      </c>
      <c r="O17" s="12">
        <v>1</v>
      </c>
      <c r="P17" s="8">
        <v>6</v>
      </c>
      <c r="Q17" s="11" t="s">
        <v>28</v>
      </c>
      <c r="R17" s="12" t="s">
        <v>19</v>
      </c>
      <c r="S17" s="11" t="s">
        <v>18</v>
      </c>
      <c r="T17" s="12" t="s">
        <v>19</v>
      </c>
      <c r="U17" s="11" t="s">
        <v>24</v>
      </c>
      <c r="V17" s="12" t="s">
        <v>19</v>
      </c>
    </row>
    <row r="18" spans="2:22" x14ac:dyDescent="0.3">
      <c r="Q18"/>
      <c r="R18"/>
      <c r="S18"/>
      <c r="T18"/>
      <c r="U18"/>
      <c r="V18"/>
    </row>
    <row r="19" spans="2:22" x14ac:dyDescent="0.3">
      <c r="Q19"/>
      <c r="R19"/>
      <c r="S19"/>
      <c r="T19"/>
      <c r="U19"/>
      <c r="V19"/>
    </row>
    <row r="20" spans="2:22" x14ac:dyDescent="0.3">
      <c r="Q20"/>
      <c r="R20"/>
      <c r="S20"/>
      <c r="T20"/>
      <c r="U20"/>
      <c r="V20"/>
    </row>
    <row r="21" spans="2:22" x14ac:dyDescent="0.3">
      <c r="Q21"/>
      <c r="R21"/>
      <c r="S21"/>
      <c r="T21"/>
      <c r="U21"/>
      <c r="V21"/>
    </row>
  </sheetData>
  <pageMargins left="0.7" right="0.7" top="0.75" bottom="0.75" header="0.3" footer="0.3"/>
  <ignoredErrors>
    <ignoredError sqref="R12:V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DevNetGen_mc&lt;&gt;LMP</vt:lpstr>
      <vt:lpstr>DevNet_load&lt;&gt;SystemCost</vt:lpstr>
      <vt:lpstr>DevNet_line&lt;&gt;near_bind_ct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Sunder Rajan</dc:creator>
  <cp:lastModifiedBy>Ashok Sunder Rajan</cp:lastModifiedBy>
  <dcterms:created xsi:type="dcterms:W3CDTF">2026-01-27T16:34:12Z</dcterms:created>
  <dcterms:modified xsi:type="dcterms:W3CDTF">2026-04-06T06:48:16Z</dcterms:modified>
</cp:coreProperties>
</file>